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tb_produtos" sheetId="1" r:id="rId1"/>
    <sheet name="tb_movimentacoes" sheetId="2" r:id="rId2"/>
    <sheet name="vw_stock_atual" sheetId="3" r:id="rId3"/>
  </sheets>
  <calcPr calcId="152511"/>
</workbook>
</file>

<file path=xl/calcChain.xml><?xml version="1.0" encoding="utf-8"?>
<calcChain xmlns="http://schemas.openxmlformats.org/spreadsheetml/2006/main">
  <c r="C3" i="3" l="1"/>
  <c r="C4" i="3"/>
  <c r="C5" i="3"/>
  <c r="C6" i="3"/>
  <c r="C2" i="3"/>
  <c r="B3" i="3"/>
  <c r="D3" i="3"/>
  <c r="B4" i="3"/>
  <c r="D4" i="3"/>
  <c r="B5" i="3"/>
  <c r="D5" i="3"/>
  <c r="B6" i="3"/>
  <c r="D6" i="3"/>
  <c r="D2" i="3"/>
  <c r="B2" i="3"/>
  <c r="E6" i="3" l="1"/>
  <c r="E5" i="3"/>
  <c r="E4" i="3"/>
  <c r="E3" i="3"/>
  <c r="E2" i="3"/>
</calcChain>
</file>

<file path=xl/sharedStrings.xml><?xml version="1.0" encoding="utf-8"?>
<sst xmlns="http://schemas.openxmlformats.org/spreadsheetml/2006/main" count="68" uniqueCount="41">
  <si>
    <t>ID_Produto</t>
  </si>
  <si>
    <t>Unidade</t>
  </si>
  <si>
    <t>Stock_Minimo</t>
  </si>
  <si>
    <t>Preço_Kg_Kz</t>
  </si>
  <si>
    <t>Validade_Dias</t>
  </si>
  <si>
    <t>Categoria</t>
  </si>
  <si>
    <t>P001</t>
  </si>
  <si>
    <t>P002</t>
  </si>
  <si>
    <t>P003</t>
  </si>
  <si>
    <t>P004</t>
  </si>
  <si>
    <t>P005</t>
  </si>
  <si>
    <t>Milho Amarelo</t>
  </si>
  <si>
    <t>Feijão Catarino</t>
  </si>
  <si>
    <t>Soja</t>
  </si>
  <si>
    <t>Fertilizante</t>
  </si>
  <si>
    <t>Semente Milho Híbrido</t>
  </si>
  <si>
    <t>Produto</t>
  </si>
  <si>
    <t>Saca 50Kg</t>
  </si>
  <si>
    <t>Saco 50Kg</t>
  </si>
  <si>
    <t>Kg</t>
  </si>
  <si>
    <t>Grão</t>
  </si>
  <si>
    <t>Insumo</t>
  </si>
  <si>
    <t>Semente</t>
  </si>
  <si>
    <t>Data</t>
  </si>
  <si>
    <t>Tipo</t>
  </si>
  <si>
    <t>Preço_Unitário</t>
  </si>
  <si>
    <t>Origem_Destino</t>
  </si>
  <si>
    <t>Entrada</t>
  </si>
  <si>
    <t>Saída</t>
  </si>
  <si>
    <t>Qtd_Sacas</t>
  </si>
  <si>
    <t>Colheita    Fazenda Huambo</t>
  </si>
  <si>
    <t>Venda Cliente Luanda</t>
  </si>
  <si>
    <t>Venda            Mercado 30</t>
  </si>
  <si>
    <t>Compra        Fertilizantes</t>
  </si>
  <si>
    <t>Venda        Restaurante</t>
  </si>
  <si>
    <t>Colheita 2ª época</t>
  </si>
  <si>
    <t>Compra          Kuanza Sul</t>
  </si>
  <si>
    <t xml:space="preserve">Compra Bié        </t>
  </si>
  <si>
    <t>Stock_Atual</t>
  </si>
  <si>
    <t>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</si>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</sst>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ill>
        <patternFill>
          <bgColor rgb="FF04AC20"/>
        </patternFill>
      </fill>
    </dxf>
    <dxf>
      <font>
        <color auto="1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Medium9"/>
  <colors>
    <mruColors>
      <color rgb="FF04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_produtos" displayName="tb_produtos" ref="A1:G6" totalsRowShown="0" headerRowDxfId="25" dataDxfId="24">
  <autoFilter ref="A1:G6"/>
  <tableColumns count="7">
    <tableColumn id="1" name="ID_Produto" dataDxfId="23"/>
    <tableColumn id="2" name="Produto" dataDxfId="22"/>
    <tableColumn id="3" name="Unidade" dataDxfId="21"/>
    <tableColumn id="4" name="Stock_Minimo" dataDxfId="20"/>
    <tableColumn id="5" name="Preço_Kg_Kz" dataDxfId="19" dataCellStyle="Vírgula"/>
    <tableColumn id="6" name="Validade_Dias" dataDxfId="18"/>
    <tableColumn id="7" name="Categoria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movimentacoes" displayName="tb_movimentacoes" ref="A1:F9" totalsRowShown="0" headerRowDxfId="16" dataDxfId="15">
  <autoFilter ref="A1:F9"/>
  <tableColumns count="6">
    <tableColumn id="1" name="Data" dataDxfId="14"/>
    <tableColumn id="2" name="ID_Produto" dataDxfId="13"/>
    <tableColumn id="3" name="Tipo" dataDxfId="12"/>
    <tableColumn id="4" name="Qtd_Sacas" dataDxfId="11"/>
    <tableColumn id="5" name="Preço_Unitário" dataDxfId="10" dataCellStyle="Vírgula"/>
    <tableColumn id="6" name="Origem_Destin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_stock_atual" displayName="tb_stock_atual" ref="A1:E6" totalsRowShown="0" headerRowDxfId="6" dataDxfId="5">
  <autoFilter ref="A1:E6"/>
  <tableColumns count="5">
    <tableColumn id="1" name="ID_Produto" dataDxfId="4"/>
    <tableColumn id="2" name="Produto" dataDxfId="3">
      <calculatedColumnFormula>VLOOKUP(A2,tb_produtos!A:G,2,FALSE)</calculatedColumnFormula>
    </tableColumn>
    <tableColumn id="3" name="Stock_Atual" dataDxfId="2">
      <calculatedColumnFormula>SUMIFS(tb_movimentacoes[Qtd_Sacas],tb_movimentacoes[ID_Produto],A2,tb_movimentacoes[Tipo],"Entrada")-SUMIFS(tb_movimentacoes[Qtd_Sacas],tb_movimentacoes[ID_Produto],A2,tb_movimentacoes[Tipo],"Saída")</calculatedColumnFormula>
    </tableColumn>
    <tableColumn id="4" name="Stock_Minimo" dataDxfId="1">
      <calculatedColumnFormula>VLOOKUP(A2,tb_produtos!A:G,4,FALSE)</calculatedColumnFormula>
    </tableColumn>
    <tableColumn id="5" name="Status" dataDxfId="0">
      <calculatedColumnFormula>IF(C2&lt;=D2,"COMPRAR","OK")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workbookViewId="0">
      <selection activeCell="D12" sqref="D12"/>
    </sheetView>
  </sheetViews>
  <sheetFormatPr defaultRowHeight="15" x14ac:dyDescent="0.25"/>
  <cols>
    <col min="1" max="1" width="15.7109375" customWidth="1"/>
    <col min="2" max="2" width="24.140625" customWidth="1"/>
    <col min="3" max="3" width="14.140625" customWidth="1"/>
    <col min="4" max="4" width="18.85546875" customWidth="1"/>
    <col min="5" max="5" width="18.7109375" customWidth="1"/>
    <col min="6" max="6" width="19.140625" customWidth="1"/>
    <col min="7" max="7" width="14" customWidth="1"/>
  </cols>
  <sheetData>
    <row r="1" spans="1:7" ht="15.75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x14ac:dyDescent="0.25">
      <c r="A2" s="2" t="s">
        <v>6</v>
      </c>
      <c r="B2" s="2" t="s">
        <v>11</v>
      </c>
      <c r="C2" s="2" t="s">
        <v>17</v>
      </c>
      <c r="D2" s="8">
        <v>50</v>
      </c>
      <c r="E2" s="7">
        <v>160</v>
      </c>
      <c r="F2" s="8">
        <v>180</v>
      </c>
      <c r="G2" s="2" t="s">
        <v>20</v>
      </c>
    </row>
    <row r="3" spans="1:7" ht="15.75" x14ac:dyDescent="0.25">
      <c r="A3" s="2" t="s">
        <v>7</v>
      </c>
      <c r="B3" s="2" t="s">
        <v>12</v>
      </c>
      <c r="C3" s="2" t="s">
        <v>17</v>
      </c>
      <c r="D3" s="8">
        <v>30</v>
      </c>
      <c r="E3" s="7">
        <v>300</v>
      </c>
      <c r="F3" s="8">
        <v>90</v>
      </c>
      <c r="G3" s="2" t="s">
        <v>20</v>
      </c>
    </row>
    <row r="4" spans="1:7" ht="15.75" x14ac:dyDescent="0.25">
      <c r="A4" s="2" t="s">
        <v>8</v>
      </c>
      <c r="B4" s="2" t="s">
        <v>13</v>
      </c>
      <c r="C4" s="2" t="s">
        <v>17</v>
      </c>
      <c r="D4" s="8">
        <v>20</v>
      </c>
      <c r="E4" s="7">
        <v>240</v>
      </c>
      <c r="F4" s="8">
        <v>120</v>
      </c>
      <c r="G4" s="2" t="s">
        <v>20</v>
      </c>
    </row>
    <row r="5" spans="1:7" ht="15.75" x14ac:dyDescent="0.25">
      <c r="A5" s="2" t="s">
        <v>9</v>
      </c>
      <c r="B5" s="2" t="s">
        <v>14</v>
      </c>
      <c r="C5" s="2" t="s">
        <v>18</v>
      </c>
      <c r="D5" s="8">
        <v>10</v>
      </c>
      <c r="E5" s="7">
        <v>450</v>
      </c>
      <c r="F5" s="8">
        <v>365</v>
      </c>
      <c r="G5" s="2" t="s">
        <v>21</v>
      </c>
    </row>
    <row r="6" spans="1:7" ht="15.75" x14ac:dyDescent="0.25">
      <c r="A6" s="2" t="s">
        <v>10</v>
      </c>
      <c r="B6" s="2" t="s">
        <v>15</v>
      </c>
      <c r="C6" s="2" t="s">
        <v>19</v>
      </c>
      <c r="D6" s="8">
        <v>100</v>
      </c>
      <c r="E6" s="7">
        <v>2500</v>
      </c>
      <c r="F6" s="8">
        <v>200</v>
      </c>
      <c r="G6" s="2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activeCell="F13" sqref="F13"/>
    </sheetView>
  </sheetViews>
  <sheetFormatPr defaultRowHeight="15" x14ac:dyDescent="0.25"/>
  <cols>
    <col min="1" max="1" width="14" customWidth="1"/>
    <col min="2" max="2" width="14.42578125" customWidth="1"/>
    <col min="3" max="3" width="12.28515625" customWidth="1"/>
    <col min="4" max="4" width="14.42578125" customWidth="1"/>
    <col min="5" max="5" width="19.7109375" customWidth="1"/>
    <col min="6" max="6" width="19.42578125" customWidth="1"/>
  </cols>
  <sheetData>
    <row r="1" spans="1:6" ht="15.75" x14ac:dyDescent="0.25">
      <c r="A1" s="1" t="s">
        <v>23</v>
      </c>
      <c r="B1" s="1" t="s">
        <v>0</v>
      </c>
      <c r="C1" s="1" t="s">
        <v>24</v>
      </c>
      <c r="D1" s="1" t="s">
        <v>29</v>
      </c>
      <c r="E1" s="1" t="s">
        <v>25</v>
      </c>
      <c r="F1" s="1" t="s">
        <v>26</v>
      </c>
    </row>
    <row r="2" spans="1:6" ht="31.5" x14ac:dyDescent="0.25">
      <c r="A2" s="4">
        <v>46032</v>
      </c>
      <c r="B2" s="5" t="s">
        <v>6</v>
      </c>
      <c r="C2" s="5" t="s">
        <v>27</v>
      </c>
      <c r="D2" s="5">
        <v>100</v>
      </c>
      <c r="E2" s="6">
        <v>8000</v>
      </c>
      <c r="F2" s="3" t="s">
        <v>30</v>
      </c>
    </row>
    <row r="3" spans="1:6" ht="31.5" x14ac:dyDescent="0.25">
      <c r="A3" s="4">
        <v>46037</v>
      </c>
      <c r="B3" s="5" t="s">
        <v>7</v>
      </c>
      <c r="C3" s="5" t="s">
        <v>27</v>
      </c>
      <c r="D3" s="5">
        <v>60</v>
      </c>
      <c r="E3" s="6">
        <v>15000</v>
      </c>
      <c r="F3" s="3" t="s">
        <v>36</v>
      </c>
    </row>
    <row r="4" spans="1:6" ht="22.5" customHeight="1" x14ac:dyDescent="0.25">
      <c r="A4" s="4">
        <v>46042</v>
      </c>
      <c r="B4" s="5" t="s">
        <v>8</v>
      </c>
      <c r="C4" s="5" t="s">
        <v>27</v>
      </c>
      <c r="D4" s="5">
        <v>40</v>
      </c>
      <c r="E4" s="6">
        <v>12000</v>
      </c>
      <c r="F4" s="3" t="s">
        <v>37</v>
      </c>
    </row>
    <row r="5" spans="1:6" ht="31.5" x14ac:dyDescent="0.25">
      <c r="A5" s="4">
        <v>46054</v>
      </c>
      <c r="B5" s="5" t="s">
        <v>6</v>
      </c>
      <c r="C5" s="5" t="s">
        <v>28</v>
      </c>
      <c r="D5" s="5">
        <v>30</v>
      </c>
      <c r="E5" s="6">
        <v>8500</v>
      </c>
      <c r="F5" s="3" t="s">
        <v>31</v>
      </c>
    </row>
    <row r="6" spans="1:6" ht="31.5" x14ac:dyDescent="0.25">
      <c r="A6" s="4">
        <v>46063</v>
      </c>
      <c r="B6" s="5" t="s">
        <v>6</v>
      </c>
      <c r="C6" s="5" t="s">
        <v>28</v>
      </c>
      <c r="D6" s="5">
        <v>20</v>
      </c>
      <c r="E6" s="6">
        <v>8500</v>
      </c>
      <c r="F6" s="3" t="s">
        <v>32</v>
      </c>
    </row>
    <row r="7" spans="1:6" ht="31.5" x14ac:dyDescent="0.25">
      <c r="A7" s="4">
        <v>46065</v>
      </c>
      <c r="B7" s="5" t="s">
        <v>9</v>
      </c>
      <c r="C7" s="5" t="s">
        <v>27</v>
      </c>
      <c r="D7" s="5">
        <v>50</v>
      </c>
      <c r="E7" s="6">
        <v>22500</v>
      </c>
      <c r="F7" s="3" t="s">
        <v>33</v>
      </c>
    </row>
    <row r="8" spans="1:6" ht="31.5" x14ac:dyDescent="0.25">
      <c r="A8" s="4">
        <v>46071</v>
      </c>
      <c r="B8" s="5" t="s">
        <v>7</v>
      </c>
      <c r="C8" s="5" t="s">
        <v>28</v>
      </c>
      <c r="D8" s="5">
        <v>40</v>
      </c>
      <c r="E8" s="6">
        <v>16000</v>
      </c>
      <c r="F8" s="3" t="s">
        <v>34</v>
      </c>
    </row>
    <row r="9" spans="1:6" ht="15.75" x14ac:dyDescent="0.25">
      <c r="A9" s="4">
        <v>46082</v>
      </c>
      <c r="B9" s="5" t="s">
        <v>6</v>
      </c>
      <c r="C9" s="5" t="s">
        <v>27</v>
      </c>
      <c r="D9" s="5">
        <v>80</v>
      </c>
      <c r="E9" s="6">
        <v>8000</v>
      </c>
      <c r="F9" s="3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tabSelected="1" workbookViewId="0">
      <selection activeCell="D11" sqref="D11"/>
    </sheetView>
  </sheetViews>
  <sheetFormatPr defaultRowHeight="15" x14ac:dyDescent="0.25"/>
  <cols>
    <col min="1" max="1" width="14.42578125" customWidth="1"/>
    <col min="2" max="2" width="24" customWidth="1"/>
    <col min="3" max="3" width="17.5703125" customWidth="1"/>
    <col min="4" max="4" width="17.28515625" customWidth="1"/>
    <col min="5" max="5" width="15.7109375" customWidth="1"/>
  </cols>
  <sheetData>
    <row r="1" spans="1:5" ht="15.75" x14ac:dyDescent="0.25">
      <c r="A1" s="1" t="s">
        <v>0</v>
      </c>
      <c r="B1" s="1" t="s">
        <v>16</v>
      </c>
      <c r="C1" s="1" t="s">
        <v>38</v>
      </c>
      <c r="D1" s="1" t="s">
        <v>2</v>
      </c>
      <c r="E1" s="1" t="s">
        <v>39</v>
      </c>
    </row>
    <row r="2" spans="1:5" ht="15.75" x14ac:dyDescent="0.25">
      <c r="A2" s="2" t="s">
        <v>6</v>
      </c>
      <c r="B2" s="2" t="str">
        <f>VLOOKUP(A2,tb_produtos!A:G,2,FALSE)</f>
        <v>Milho Amarelo</v>
      </c>
      <c r="C2" s="8">
        <f>SUMIFS(tb_movimentacoes[Qtd_Sacas],tb_movimentacoes[ID_Produto],A2,tb_movimentacoes[Tipo],"Entrada")-SUMIFS(tb_movimentacoes[Qtd_Sacas],tb_movimentacoes[ID_Produto],A2,tb_movimentacoes[Tipo],"Saída")</f>
        <v>130</v>
      </c>
      <c r="D2" s="8">
        <f>VLOOKUP(A2,tb_produtos!A:G,4,FALSE)</f>
        <v>50</v>
      </c>
      <c r="E2" s="2" t="str">
        <f>IF(C2&lt;=D2,"COMPRAR","OK")</f>
        <v>OK</v>
      </c>
    </row>
    <row r="3" spans="1:5" ht="15.75" x14ac:dyDescent="0.25">
      <c r="A3" s="2" t="s">
        <v>7</v>
      </c>
      <c r="B3" s="2" t="str">
        <f>VLOOKUP(A3,tb_produtos!A:G,2,FALSE)</f>
        <v>Feijão Catarino</v>
      </c>
      <c r="C3" s="8">
        <f>SUMIFS(tb_movimentacoes[Qtd_Sacas],tb_movimentacoes[ID_Produto],A3,tb_movimentacoes[Tipo],"Entrada")-SUMIFS(tb_movimentacoes[Qtd_Sacas],tb_movimentacoes[ID_Produto],A3,tb_movimentacoes[Tipo],"Saída")</f>
        <v>20</v>
      </c>
      <c r="D3" s="8">
        <f>VLOOKUP(A3,tb_produtos!A:G,4,FALSE)</f>
        <v>30</v>
      </c>
      <c r="E3" s="2" t="str">
        <f t="shared" ref="E3:E6" si="0">IF(C3&lt;=D3,"COMPRAR","OK")</f>
        <v>COMPRAR</v>
      </c>
    </row>
    <row r="4" spans="1:5" ht="15.75" x14ac:dyDescent="0.25">
      <c r="A4" s="2" t="s">
        <v>8</v>
      </c>
      <c r="B4" s="2" t="str">
        <f>VLOOKUP(A4,tb_produtos!A:G,2,FALSE)</f>
        <v>Soja</v>
      </c>
      <c r="C4" s="8">
        <f>SUMIFS(tb_movimentacoes[Qtd_Sacas],tb_movimentacoes[ID_Produto],A4,tb_movimentacoes[Tipo],"Entrada")-SUMIFS(tb_movimentacoes[Qtd_Sacas],tb_movimentacoes[ID_Produto],A4,tb_movimentacoes[Tipo],"Saída")</f>
        <v>40</v>
      </c>
      <c r="D4" s="8">
        <f>VLOOKUP(A4,tb_produtos!A:G,4,FALSE)</f>
        <v>20</v>
      </c>
      <c r="E4" s="2" t="str">
        <f t="shared" si="0"/>
        <v>OK</v>
      </c>
    </row>
    <row r="5" spans="1:5" ht="15.75" x14ac:dyDescent="0.25">
      <c r="A5" s="2" t="s">
        <v>9</v>
      </c>
      <c r="B5" s="2" t="str">
        <f>VLOOKUP(A5,tb_produtos!A:G,2,FALSE)</f>
        <v>Fertilizante</v>
      </c>
      <c r="C5" s="8">
        <f>SUMIFS(tb_movimentacoes[Qtd_Sacas],tb_movimentacoes[ID_Produto],A5,tb_movimentacoes[Tipo],"Entrada")-SUMIFS(tb_movimentacoes[Qtd_Sacas],tb_movimentacoes[ID_Produto],A5,tb_movimentacoes[Tipo],"Saída")</f>
        <v>50</v>
      </c>
      <c r="D5" s="8">
        <f>VLOOKUP(A5,tb_produtos!A:G,4,FALSE)</f>
        <v>10</v>
      </c>
      <c r="E5" s="2" t="str">
        <f t="shared" si="0"/>
        <v>OK</v>
      </c>
    </row>
    <row r="6" spans="1:5" ht="15.75" x14ac:dyDescent="0.25">
      <c r="A6" s="2" t="s">
        <v>10</v>
      </c>
      <c r="B6" s="2" t="str">
        <f>VLOOKUP(A6,tb_produtos!A:G,2,FALSE)</f>
        <v>Semente Milho Híbrido</v>
      </c>
      <c r="C6" s="8">
        <f>SUMIFS(tb_movimentacoes[Qtd_Sacas],tb_movimentacoes[ID_Produto],A6,tb_movimentacoes[Tipo],"Entrada")-SUMIFS(tb_movimentacoes[Qtd_Sacas],tb_movimentacoes[ID_Produto],A6,tb_movimentacoes[Tipo],"Saída")</f>
        <v>0</v>
      </c>
      <c r="D6" s="8">
        <f>VLOOKUP(A6,tb_produtos!A:G,4,FALSE)</f>
        <v>100</v>
      </c>
      <c r="E6" s="2" t="str">
        <f t="shared" si="0"/>
        <v>COMPRAR</v>
      </c>
    </row>
    <row r="11" spans="1:5" x14ac:dyDescent="0.25">
      <c r="D11" t="s">
        <v>40</v>
      </c>
    </row>
  </sheetData>
  <conditionalFormatting sqref="E1:E1048576">
    <cfRule type="containsText" dxfId="8" priority="2" operator="containsText" text="COMPRAR">
      <formula>NOT(ISERROR(SEARCH("COMPRAR",E1)))</formula>
    </cfRule>
    <cfRule type="containsText" dxfId="7" priority="1" operator="containsText" text="OK">
      <formula>NOT(ISERROR(SEARCH("OK",E1)))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tb_produtos</vt:lpstr>
      <vt:lpstr>tb_movimentacoes</vt:lpstr>
      <vt:lpstr>vw_stock_atual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2026-09-19T11:17:58Z</dcterms:modified>
</cp:coreProperties>
</file>